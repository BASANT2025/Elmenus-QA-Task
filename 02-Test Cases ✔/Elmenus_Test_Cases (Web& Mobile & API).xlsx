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D:\Code Quest-20260516T085614Z-3-001\Code Quest - SQA Engineer\02-Test Cases ✔\"/>
    </mc:Choice>
  </mc:AlternateContent>
  <xr:revisionPtr revIDLastSave="0" documentId="13_ncr:1_{A527C7E0-1F9F-4A4C-BB24-9EAF21524FAE}" xr6:coauthVersionLast="47" xr6:coauthVersionMax="47" xr10:uidLastSave="{00000000-0000-0000-0000-000000000000}"/>
  <bookViews>
    <workbookView xWindow="-108" yWindow="-108" windowWidth="23256" windowHeight="12456" tabRatio="500" activeTab="2" xr2:uid="{00000000-000D-0000-FFFF-FFFF00000000}"/>
  </bookViews>
  <sheets>
    <sheet name="Summary" sheetId="1" r:id="rId1"/>
    <sheet name="Test Cases" sheetId="2" r:id="rId2"/>
    <sheet name="API Testing" sheetId="5"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E21" i="1" l="1"/>
  <c r="D21" i="1"/>
  <c r="C21" i="1"/>
  <c r="B21" i="1"/>
  <c r="E20" i="1"/>
  <c r="D20" i="1"/>
  <c r="C20" i="1"/>
  <c r="B20" i="1"/>
  <c r="E19" i="1"/>
  <c r="D19" i="1"/>
  <c r="C19" i="1"/>
  <c r="B19" i="1"/>
  <c r="B15" i="1"/>
  <c r="B14" i="1"/>
  <c r="B13" i="1"/>
  <c r="B12" i="1"/>
  <c r="B11" i="1"/>
  <c r="B10" i="1"/>
  <c r="C13" i="1" l="1"/>
  <c r="C14" i="1"/>
  <c r="C10" i="1"/>
  <c r="C11" i="1"/>
  <c r="C12" i="1"/>
  <c r="B23" i="1"/>
</calcChain>
</file>

<file path=xl/sharedStrings.xml><?xml version="1.0" encoding="utf-8"?>
<sst xmlns="http://schemas.openxmlformats.org/spreadsheetml/2006/main" count="250" uniqueCount="187">
  <si>
    <t>Elmenus QA — Test Case Execution Summary</t>
  </si>
  <si>
    <t>Project</t>
  </si>
  <si>
    <t>Elmenus (web + mobile app)</t>
  </si>
  <si>
    <t>Tester</t>
  </si>
  <si>
    <t>Build / Version</t>
  </si>
  <si>
    <t>Date</t>
  </si>
  <si>
    <t>Status breakdown</t>
  </si>
  <si>
    <t>Status</t>
  </si>
  <si>
    <t>Count</t>
  </si>
  <si>
    <t>% of total</t>
  </si>
  <si>
    <t>Not Executed</t>
  </si>
  <si>
    <t>Pass</t>
  </si>
  <si>
    <t>Fail</t>
  </si>
  <si>
    <t>Blocked</t>
  </si>
  <si>
    <t>Skipped</t>
  </si>
  <si>
    <t>Total</t>
  </si>
  <si>
    <t>Priority breakdown</t>
  </si>
  <si>
    <t>Priority</t>
  </si>
  <si>
    <t>Passed</t>
  </si>
  <si>
    <t>Failed</t>
  </si>
  <si>
    <t>P0</t>
  </si>
  <si>
    <t>P1</t>
  </si>
  <si>
    <t>P2</t>
  </si>
  <si>
    <t>Pass rate (executed only)</t>
  </si>
  <si>
    <t>Test Case ID</t>
  </si>
  <si>
    <t>Title</t>
  </si>
  <si>
    <t>Preconditions</t>
  </si>
  <si>
    <t>Steps</t>
  </si>
  <si>
    <t>Expected Result</t>
  </si>
  <si>
    <t>Test Data</t>
  </si>
  <si>
    <t>Notes</t>
  </si>
  <si>
    <t>TC-001</t>
  </si>
  <si>
    <t>Browse restaurants by area on mobile (happy path)</t>
  </si>
  <si>
    <t>App installed, logged in, location permission granted, GPS shows current location/address (Mansoura)</t>
  </si>
  <si>
    <t>1. Open app
2. Confirm detected area is "Mansoura"
3. Tap "Restaurants" tab
4. Scroll the list</t>
  </si>
  <si>
    <t>Restaurant list loads within 3 seconds, all results have name, cuisine, rating, and delivery time. Sorting defaults to "Popular". Pagination/scroll loads additional results without crash.</t>
  </si>
  <si>
    <t>Test account logged in; GPS location set to Mansoura</t>
  </si>
  <si>
    <t>Core discovery flow — first thing every user sees</t>
  </si>
  <si>
    <t>TC-002</t>
  </si>
  <si>
    <t>End-to-end order with card payment (happy path)</t>
  </si>
  <si>
    <t>Logged-in test account, saved address in active delivery zone, restaurant "X" is open</t>
  </si>
  <si>
    <t>1. Open restaurant X
2. Add 2 items, one with modifiers (e.g., size + extras)
3. Open cart, verify subtotal, delivery fee, total
4. Proceed to checkout
5. Select saved address
6. Enter card details
7. Confirm order, complete 3DS challenge if shown
8. Wait for confirmation screen
9. Open order tracking page</t>
  </si>
  <si>
    <t>Order ID generated, confirmation screen shows correct items/prices, push notification arrives within 30s, tracking screen shows "Order placed → Restaurant confirmed" state transitions, charge appears on card statement matching displayed total.</t>
  </si>
  <si>
    <t>Test card; address in active delivery zone; open restaurant</t>
  </si>
  <si>
    <t>Highest-value flow — run on every build</t>
  </si>
  <si>
    <t>TC-003</t>
  </si>
  <si>
    <t>TC-004</t>
  </si>
  <si>
    <t>Failed payment (card declined)</t>
  </si>
  <si>
    <t>Test card configured to return decline (e.g., 4000 0000 0000 0002 in sandbox-equivalent)</t>
  </si>
  <si>
    <t>1. Add items, proceed to checkout
2. Select decline-test card
3. Confirm order</t>
  </si>
  <si>
    <t>Decline-test card 4000 0000 0000 0002</t>
  </si>
  <si>
    <t>Money path — failure handling must be airtight</t>
  </si>
  <si>
    <t>TC-005</t>
  </si>
  <si>
    <t>TC-006</t>
  </si>
  <si>
    <t>Address outside delivery zone</t>
  </si>
  <si>
    <t>Logged-in account, known address coordinates outside any active delivery polygon</t>
  </si>
  <si>
    <t>1. Open address book, add new address with out-of-zone coordinates
2. Try to set it as delivery address
3. Try to checkout</t>
  </si>
  <si>
    <t>App either prevents saving the address with "we don't deliver here yet" message, OR allows saving but blocks checkout when this address is selected with the same message. List of nearby supported areas shown.</t>
  </si>
  <si>
    <t>Coordinates outside any delivery polygon (e.g., remote village)</t>
  </si>
  <si>
    <t>Verify behavior is consistent — block early or block at checkout, not both</t>
  </si>
  <si>
    <t>TC-007</t>
  </si>
  <si>
    <t>Invalid promo code</t>
  </si>
  <si>
    <t>Cart meets normal checkout requirements; tester has list of (a) wrong code, (b) expired code, (c) code locked to a different restaurant</t>
  </si>
  <si>
    <t>1. At checkout, enter wrong code → tap apply
2. Enter expired code → tap apply
3. Enter restaurant-locked code on wrong restaurant → tap apply
4. Verify cart total each time</t>
  </si>
  <si>
    <t>Each case shows a distinct, accurate error message ("invalid code" / "this code has expired" / "not valid for this restaurant"). Cart total remains correct and unchanged. No discount silently applied.</t>
  </si>
  <si>
    <t>Codes: WRONGCODE, EXPIRED01, RESTAURANT_LOCKED</t>
  </si>
  <si>
    <t>TC-008</t>
  </si>
  <si>
    <t>Empty cart checkout attempt</t>
  </si>
  <si>
    <t>Logged in, cart empty</t>
  </si>
  <si>
    <t>1. Tap cart icon
2. If "Checkout" button is visible, tap it
3. If "Checkout" button is disabled, attempt direct navigation via deep link to /checkout</t>
  </si>
  <si>
    <t>Checkout button is disabled OR shows empty state. Deep link to checkout with empty cart redirects to home or shows an empty-cart state, never proceeds to payment.</t>
  </si>
  <si>
    <t>Logged-in account with empty cart; checkout deep link URL</t>
  </si>
  <si>
    <t>Negative path — guard against deep-link bypass</t>
  </si>
  <si>
    <t>TC-009</t>
  </si>
  <si>
    <t>Expired session during checkout</t>
  </si>
  <si>
    <t>Logged in; tester can force session expiry (clear token, or backend revoke)</t>
  </si>
  <si>
    <t>1. Load cart with items
2. Force session expiry
3. Tap "Checkout"
4. Complete re-login when prompted</t>
  </si>
  <si>
    <t>App detects expired session, prompts for re-login (not silent failure), preserves cart contents after successful re-login, returns user to the checkout step they were on.</t>
  </si>
  <si>
    <t>Method to force session expiry (clear token or revoke)</t>
  </si>
  <si>
    <t>Cart persistence after re-auth is the key check</t>
  </si>
  <si>
    <t>TC-010</t>
  </si>
  <si>
    <t>1. Open elmenus.com on each viewport
2. Browse restaurants
3. Open a restaurant menu
4. Add to cart, proceed to checkout
5. Verify all CTAs, modals, and forms are reachable and not clipped</t>
  </si>
  <si>
    <t>No horizontal scroll. All CTAs (Add to cart, Checkout, Apply promo) are tappable without zoom. Modals close properly. Cart icon and total are visible at all times. RTL layout (Arabic) mirrors correctly without overlap.</t>
  </si>
  <si>
    <t>Browser dev tools / real devices at 375px, 414px, 768px</t>
  </si>
  <si>
    <t>Test all three viewports; check both LTR and RTL</t>
  </si>
  <si>
    <t>TC-011</t>
  </si>
  <si>
    <t>TC-012</t>
  </si>
  <si>
    <t>TC-013</t>
  </si>
  <si>
    <t>Arabic language / RTL end-to-end</t>
  </si>
  <si>
    <t>App or web set to Arabic</t>
  </si>
  <si>
    <t>1. Switch language to Arabic
2. Browse, add to cart, checkout, place order, view tracking
3. Inspect each screen for layout, truncation, mirrored icons, number/currency formatting</t>
  </si>
  <si>
    <t>All screens render correctly RTL. Currency shows as "ج.م" or "EGP" consistently. Numbers are not mirrored. No clipped or overflowing text. No untranslated English strings on critical paths.</t>
  </si>
  <si>
    <t>Arabic language setting; full order flow</t>
  </si>
  <si>
    <t>API-001</t>
  </si>
  <si>
    <t>Homepage feed — happy path (200 OK)</t>
  </si>
  <si>
    <t>API-002</t>
  </si>
  <si>
    <t>API-003</t>
  </si>
  <si>
    <t>Sign in — happy path (valid credentials)</t>
  </si>
  <si>
    <t>Search restaurants — happy path</t>
  </si>
  <si>
    <t>Elmenus QA — API Test Cases</t>
  </si>
  <si>
    <t>Endpoints under test</t>
  </si>
  <si>
    <t>Endpoint</t>
  </si>
  <si>
    <t>Method</t>
  </si>
  <si>
    <t>Purpose</t>
  </si>
  <si>
    <t>Auth?</t>
  </si>
  <si>
    <t>GET</t>
  </si>
  <si>
    <t>Homepage feed (featured restaurants, banners, areas)</t>
  </si>
  <si>
    <t>No</t>
  </si>
  <si>
    <t>POST</t>
  </si>
  <si>
    <t>Sign in with email + password, return JWT</t>
  </si>
  <si>
    <t>Search restaurants by name/cuisine</t>
  </si>
  <si>
    <t>Yes (assumed)</t>
  </si>
  <si>
    <t>Test cases</t>
  </si>
  <si>
    <t>Valid base URL reachable from Postman; no auth required (public endpoint)</t>
  </si>
  <si>
    <t>Status 200. Response is JSON containing at least: featured_restaurants[], banners[], areas[]. Response time &lt; 2s. Content-Type: application/json.</t>
  </si>
  <si>
    <t>First call every user makes — must be fast and reliable</t>
  </si>
  <si>
    <t>Test account exists with known email + password</t>
  </si>
  <si>
    <t>Status 200. Response body contains: access_token (non-empty string), refresh_token, expires_in (number, &gt; 0), user.id, user.email. Token is JWT format. No password echoed back in response.</t>
  </si>
  <si>
    <t>Gate to every authenticated flow — must be airtight</t>
  </si>
  <si>
    <t>Status 200. Body: {results:[{restaurant_id, name, cuisines[], rating, delivery_time_min, delivery_time_max, is_open}], total, page}. All results' name OR cuisines field contains 'koshary' (case-insensitive). Response time &lt; 1.5s.</t>
  </si>
  <si>
    <t>Core discovery API — relevance + speed matter equally</t>
  </si>
  <si>
    <t>Sign up with Google (happy path — new account)</t>
  </si>
  <si>
    <t>A Google account exists that has never been registered on Elmenus; user is logged into that Google account in the browser; Elmenus web or mobile app is open on the sign-up screen</t>
  </si>
  <si>
    <t>1. Tap "Sign up with Google"
2. In the Google OAuth popup, select the target Google account
3. Review the requested permissions (email, profile)
4. Tap "Continue" / "Allow"
5. If Elmenus asks for additional info (phone number, area), complete the required fields
6. Submit</t>
  </si>
  <si>
    <t>Google OAuth popup opens and closes cleanly without errors. Account is created on Elmenus using the Google email. User lands on the home screen, already logged in (no separate login step required). Profile shows the Google account's name and email. Welcome notification or email arrives within a reasonable window.</t>
  </si>
  <si>
    <t>Fresh Google account not previously used on Elmenus</t>
  </si>
  <si>
    <t>OAuth flow — failures often happen at the consent screen or in the post-OAuth profile completion step. Verify no duplicate account is created if user retries.</t>
  </si>
  <si>
    <t>TC-014</t>
  </si>
  <si>
    <t>Cross-platform account continuity — Google signup on mobile, sign-in on web</t>
  </si>
  <si>
    <t>A Google account exists that has never been registered on Elmenus; Android device with Elmenus app installed and Chrome/Firefox signed into the same Google account; Windows 11 machine with Firefox and access to the same Google account; both devices on the network</t>
  </si>
  <si>
    <r>
      <rPr>
        <b/>
        <sz val="10"/>
        <rFont val="Arial"/>
        <family val="2"/>
      </rPr>
      <t>On Android app</t>
    </r>
    <r>
      <rPr>
        <sz val="10"/>
        <rFont val="Arial"/>
        <charset val="1"/>
      </rPr>
      <t xml:space="preserve">:
1. Launch Elmenus app, open sign-up screen
2. Tap "Sign up with Google"
3. Select the target Google account in the OAuth consent screen
4. Approve permissions (email, profile)
5. Verify account is created and user lands logged-in on the home screen
6. Note the displayed profile name and email
7. Add an item to cart and save an address (to verify state syncs in the next step)
</t>
    </r>
    <r>
      <rPr>
        <b/>
        <sz val="10"/>
        <rFont val="Arial"/>
        <family val="2"/>
      </rPr>
      <t>On Windows 11 / Firefox</t>
    </r>
    <r>
      <rPr>
        <sz val="10"/>
        <rFont val="Arial"/>
        <charset val="1"/>
      </rPr>
      <t>:
8. Open elmenus.com in a fresh incognito window (no existing session)
9. Click "Login"
10. Click "Log in with Google"
11. Select the same Google account used on mobile
12. Approve permissions if prompted
13. Verify landing state</t>
    </r>
  </si>
  <si>
    <t>Fresh Google account,same account used on both Android and Windows Firefox</t>
  </si>
  <si>
    <r>
      <rPr>
        <b/>
        <sz val="10"/>
        <rFont val="Arial"/>
        <family val="2"/>
      </rPr>
      <t xml:space="preserve">Single account </t>
    </r>
    <r>
      <rPr>
        <sz val="10"/>
        <rFont val="Arial"/>
        <charset val="1"/>
      </rPr>
      <t xml:space="preserve">— web resolves to the same Elmenus user created on mobile (same user ID, profile, email). No duplicate or "create new account" prompt.
</t>
    </r>
    <r>
      <rPr>
        <b/>
        <sz val="10"/>
        <rFont val="Arial"/>
        <family val="2"/>
      </rPr>
      <t>Data syncs</t>
    </r>
    <r>
      <rPr>
        <sz val="10"/>
        <rFont val="Arial"/>
        <charset val="1"/>
      </rPr>
      <t xml:space="preserve"> — address saved on mobile appears on web; cart behavior matches the product spec (synced or device-local, but consistent — no silent data loss).
</t>
    </r>
    <r>
      <rPr>
        <b/>
        <sz val="10"/>
        <rFont val="Arial"/>
        <family val="2"/>
      </rPr>
      <t>No re-onboarding</t>
    </r>
    <r>
      <rPr>
        <sz val="10"/>
        <rFont val="Arial"/>
        <charset val="1"/>
      </rPr>
      <t xml:space="preserve"> — web doesn't ask again for info already provided on mobile (phone, area).
</t>
    </r>
    <r>
      <rPr>
        <b/>
        <sz val="10"/>
        <rFont val="Arial"/>
        <family val="2"/>
      </rPr>
      <t>Independent sessions</t>
    </r>
    <r>
      <rPr>
        <sz val="10"/>
        <rFont val="Arial"/>
        <charset val="1"/>
      </rPr>
      <t xml:space="preserve"> — logging out on web doesn't kill the mobile session.</t>
    </r>
  </si>
  <si>
    <t>Platform</t>
  </si>
  <si>
    <t>Mobile</t>
  </si>
  <si>
    <t>Mobile/ Web</t>
  </si>
  <si>
    <t>Web</t>
  </si>
  <si>
    <t>User sees specific error ("There is an error with payment please try again"), order is NOT created in the system, cart is preserved, user can retry with a different payment method without re-entering items. No charge appears on card.</t>
  </si>
  <si>
    <t>Cart icon badge updates in real time as items are added</t>
  </si>
  <si>
    <t>Logged-in account; cart is empty at start; user is on a restaurant's menu page with multiple available items</t>
  </si>
  <si>
    <t>1. Open a restaurant page and confirm the cart icon shows no badge (or shows "0") with an empty cart
2. Add Item A (quantity 1), observe the cart icon badge
3. Add Item B (quantity 1), observe the badge update
4. Increase Item A's quantity to 3 from the menu or cart, observe the badge
5. Remove Item B from the cart, observe the badge
6. Empty the cart entirely, observe the icon's empty state</t>
  </si>
  <si>
    <t>Cart badge updates immediately after each action (no page refresh required).</t>
  </si>
  <si>
    <t>Google Login on Website Fails for Account Already Logged In on Mobile App</t>
  </si>
  <si>
    <t>Cancel card payment mid-flow from mobile app</t>
  </si>
  <si>
    <t>Logged-in account on Android; cart has at least one item; valid delivery address set; card payment method selected at checkout; ability to reach the payment screen</t>
  </si>
  <si>
    <t>1. Add item(s) to cart and proceed to checkout
2. Select "Pay by card" as the payment method
3. Verify the card payment screen or gateway redirect loads correctly
4. On the payment screen, tap "Cancel" or the back button (device back button or in-app back arrow)
5. Observe the screen the user lands on
6. Observe the cart state
7. Observe the order state (no order should exist)
8. Attempt to place the same order again from the same cart</t>
  </si>
  <si>
    <t xml:space="preserve">Navigation: User is returned to the checkout screen or cart — not to the home screen, not to a blank/error page. No dead-end states. </t>
  </si>
  <si>
    <t>Koshari Gedo restaurant, Oven rice pudding item</t>
  </si>
  <si>
    <t>TC-015</t>
  </si>
  <si>
    <t>The application crashes after the user cancels a payment made using a card during the payment flow.</t>
  </si>
  <si>
    <t>Cart Icon Count Is Not Updated After Adding Products</t>
  </si>
  <si>
    <t>Access cart page from website — happy path and blocked states</t>
  </si>
  <si>
    <t>Firefox on Windows 11; elmenus.com loaded; test account available</t>
  </si>
  <si>
    <t>1. Log in and add at least one item to the cart
2. Click the cart icon in the navigation bar — observe navigation
3. Verify cart page loads with correct items, quantities, and total</t>
  </si>
  <si>
    <t xml:space="preserve">Cart page loads within 2 seconds, displays all added items with correct names, quantities, prices, and subtotal. </t>
  </si>
  <si>
    <t>Logged-in test account; at least 2 items in cart</t>
  </si>
  <si>
    <t>Users are unable to open or navigate to the cart page through the website UI. Clicking the cart icon/button does not redirect to the cart page as expected.</t>
  </si>
  <si>
    <t>Two menu items from the same restaurant (Patcha); quantities 1 and 3</t>
  </si>
  <si>
    <t>UI Language Does Not Change After Switching to Arabic</t>
  </si>
  <si>
    <t>Responsive layout on mobile web browser</t>
  </si>
  <si>
    <t>elmenus.com loaded in mobile view port</t>
  </si>
  <si>
    <t>Logged-in account on Android; add at least one item to the cart.</t>
  </si>
  <si>
    <t>Special instructions field — rejects numbers-only input</t>
  </si>
  <si>
    <t>1. Add an item to the cart
2. Proceed to checkout
3. Locate the special instructions field
4. Enter numbers only (e.g., "123456") in the field
5. Tap "Place Order" / "Confirm"</t>
  </si>
  <si>
    <t xml:space="preserve">Order is not created. An inline validation error appears on the special instructions field explaining that numbers alone are not accepted </t>
  </si>
  <si>
    <t>Special Instructions Field Accepts Numbers-Only Input</t>
  </si>
  <si>
    <t>Numbers-only input: "123456"</t>
  </si>
  <si>
    <t>web</t>
  </si>
  <si>
    <t>Distinct error messages" This promo doesn't exist " matter for user trust</t>
  </si>
  <si>
    <t>TC-016</t>
  </si>
  <si>
    <t>Checkout verification — order blocked when SMS code is not entered</t>
  </si>
  <si>
    <t>Logged-in account on Android; cart has at least one item; valid delivery address set; payment method selected; phone number registered on the account is reachable</t>
  </si>
  <si>
    <t xml:space="preserve">Step 5 — empty submission: Order is not created. Inline error appears ("please enter the verification code"). No API call to create the order is fired. </t>
  </si>
  <si>
    <t>1. Add item(s) to cart and proceed to checkout
2. Confirm address and payment method are set
3.Enter phone number
4. Observe if an SMS verification code pop-up appears
5. When the code input screen appears, leave the field completely empty and tap outside the pop-up window.</t>
  </si>
  <si>
    <t>Phone number 0100000000</t>
  </si>
  <si>
    <t>User Can Bypass Phone Verification and Proceed to Place Order</t>
  </si>
  <si>
    <t>1. Open Postman, new GET request
2. URL: 
3. Headers: Accept: application/json, Accept-Language: en-US
4. Send</t>
  </si>
  <si>
    <t>Auth token from API-002 (or guest if endpoint is public)</t>
  </si>
  <si>
    <t>email=mivag77528@dardr.com, password=Abcd@1234</t>
  </si>
  <si>
    <t xml:space="preserve">Postman Collection Link </t>
  </si>
  <si>
    <t xml:space="preserve">https://bassant-elsayed-8ef17322-8516656.postman.co/workspace/Elmenus~b62b1100-dfae-4394-a7b8-3b83c73854f7/collection/52870788-7c5b351f-d0b4-49bc-9992-6a3f6369b3a3?action=share&amp;creator=52870788 </t>
  </si>
  <si>
    <t>https://elmenus.com/</t>
  </si>
  <si>
    <t>https://elmenus.com/mansoura/search-cake?query=cake</t>
  </si>
  <si>
    <t>https://elmenus.com/api/auth-svc/1.0/auth/</t>
  </si>
  <si>
    <t>1. POST {base_url}/api/auth-svc/1.0/auth/
2. Headers: Content-Type: application/json
3. Body (raw JSON):
{
  "email": "mivag77528@dardr.com",
  "password": "Abcd@1234"
}
4. Send</t>
  </si>
  <si>
    <t>1. GET {base_url}/mansoura/search-cake?query=cake
2. Headers: Authorization: Bearer &lt;token&gt;, Accept: application/json
3. Send</t>
  </si>
  <si>
    <t>q=cake, Mansoura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</si>
</sst>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1" x14ac:knownFonts="1">
    <font>
      <sz val="11"/>
      <color theme="1"/>
      <name val="Calibri"/>
      <family val="2"/>
      <charset val="1"/>
    </font>
    <font>
      <b/>
      <sz val="14"/>
      <color rgb="FF1F4E78"/>
      <name val="Arial"/>
      <charset val="1"/>
    </font>
    <font>
      <b/>
      <sz val="10"/>
      <name val="Arial"/>
      <charset val="1"/>
    </font>
    <font>
      <sz val="10"/>
      <name val="Arial"/>
      <charset val="1"/>
    </font>
    <font>
      <b/>
      <sz val="11"/>
      <color rgb="FF1F4E78"/>
      <name val="Arial"/>
      <charset val="1"/>
    </font>
    <font>
      <b/>
      <sz val="11"/>
      <color rgb="FFFFFFFF"/>
      <name val="Arial"/>
      <charset val="1"/>
    </font>
    <font>
      <sz val="8"/>
      <name val="Calibri"/>
      <family val="2"/>
      <charset val="1"/>
    </font>
    <font>
      <b/>
      <sz val="10"/>
      <name val="Arial"/>
      <family val="2"/>
    </font>
    <font>
      <sz val="10"/>
      <name val="Arial"/>
      <family val="2"/>
    </font>
    <font>
      <u/>
      <sz val="11"/>
      <color theme="10"/>
      <name val="Calibri"/>
      <family val="2"/>
      <charset val="1"/>
    </font>
    <font>
      <b/>
      <sz val="11"/>
      <color rgb="FFFFFFFF"/>
      <name val="Arial"/>
      <family val="2"/>
    </font>
  </fonts>
  <fills count="4">
    <fill>
      <patternFill patternType="none"/>
    </fill>
    <fill>
      <patternFill patternType="gray125"/>
    </fill>
    <fill>
      <patternFill patternType="solid">
        <fgColor rgb="FF1F4E78"/>
        <bgColor rgb="FF2F5496"/>
      </patternFill>
    </fill>
    <fill>
      <patternFill patternType="solid">
        <fgColor theme="5" tint="0.79998168889431442"/>
        <bgColor indexed="64"/>
      </patternFill>
    </fill>
  </fills>
  <borders count="3">
    <border>
      <left/>
      <right/>
      <top/>
      <bottom/>
      <diagonal/>
    </border>
    <border>
      <left style="thin">
        <color rgb="FFBFBFBF"/>
      </left>
      <right style="thin">
        <color rgb="FFBFBFBF"/>
      </right>
      <top style="thin">
        <color rgb="FFBFBFBF"/>
      </top>
      <bottom style="thin">
        <color rgb="FFBFBFBF"/>
      </bottom>
      <diagonal/>
    </border>
    <border>
      <left style="thin">
        <color rgb="FFBFBFBF"/>
      </left>
      <right style="thin">
        <color rgb="FFBFBFBF"/>
      </right>
      <top style="thin">
        <color rgb="FFBFBFBF"/>
      </top>
      <bottom/>
      <diagonal/>
    </border>
  </borders>
  <cellStyleXfs count="2">
    <xf numFmtId="0" fontId="0" fillId="0" borderId="0"/>
    <xf numFmtId="0" fontId="9" fillId="0" borderId="0" applyNumberFormat="0" applyFill="0" applyBorder="0" applyAlignment="0" applyProtection="0"/>
  </cellStyleXfs>
  <cellXfs count="19">
    <xf numFmtId="0" fontId="0" fillId="0" borderId="0" xfId="0"/>
    <xf numFmtId="0" fontId="3" fillId="0" borderId="1" xfId="0" applyFont="1" applyBorder="1" applyAlignment="1">
      <alignment vertical="center" wrapText="1"/>
    </xf>
    <xf numFmtId="0" fontId="3" fillId="0" borderId="1" xfId="0" applyFont="1" applyBorder="1" applyAlignment="1">
      <alignment vertical="top" wrapText="1"/>
    </xf>
    <xf numFmtId="0" fontId="4" fillId="0" borderId="0" xfId="0" applyFont="1"/>
    <xf numFmtId="0" fontId="2" fillId="0" borderId="0" xfId="0" applyFont="1"/>
    <xf numFmtId="0" fontId="3" fillId="0" borderId="0" xfId="0" applyFont="1"/>
    <xf numFmtId="0" fontId="5" fillId="2" borderId="1" xfId="0" applyFont="1" applyFill="1" applyBorder="1" applyAlignment="1">
      <alignment horizontal="center"/>
    </xf>
    <xf numFmtId="0" fontId="3" fillId="0" borderId="1" xfId="0" applyFont="1" applyBorder="1"/>
    <xf numFmtId="164" fontId="3" fillId="0" borderId="1" xfId="0" applyNumberFormat="1" applyFont="1" applyBorder="1"/>
    <xf numFmtId="164" fontId="1" fillId="0" borderId="0" xfId="0" applyNumberFormat="1" applyFont="1"/>
    <xf numFmtId="0" fontId="5" fillId="2" borderId="1" xfId="0" applyFont="1" applyFill="1" applyBorder="1" applyAlignment="1">
      <alignment horizontal="center" vertical="center" wrapText="1"/>
    </xf>
    <xf numFmtId="0" fontId="8" fillId="0" borderId="1" xfId="0" applyFont="1" applyBorder="1" applyAlignment="1">
      <alignment vertical="top" wrapText="1"/>
    </xf>
    <xf numFmtId="0" fontId="8" fillId="3" borderId="1" xfId="0" applyFont="1" applyFill="1" applyBorder="1" applyAlignment="1">
      <alignment vertical="top" wrapText="1"/>
    </xf>
    <xf numFmtId="0" fontId="10" fillId="2" borderId="1" xfId="0" applyFont="1" applyFill="1" applyBorder="1" applyAlignment="1">
      <alignment horizontal="center" vertical="center" wrapText="1"/>
    </xf>
    <xf numFmtId="0" fontId="8" fillId="0" borderId="2" xfId="0" applyFont="1" applyBorder="1" applyAlignment="1">
      <alignment vertical="top" wrapText="1"/>
    </xf>
    <xf numFmtId="0" fontId="9" fillId="0" borderId="1" xfId="1" applyBorder="1" applyAlignment="1">
      <alignment vertical="center" wrapText="1"/>
    </xf>
    <xf numFmtId="0" fontId="1" fillId="0" borderId="0" xfId="0" applyFont="1"/>
    <xf numFmtId="0" fontId="1" fillId="0" borderId="0" xfId="0" applyFont="1" applyAlignment="1">
      <alignment horizontal="center"/>
    </xf>
    <xf numFmtId="0" fontId="9" fillId="0" borderId="0" xfId="1" applyAlignment="1">
      <alignment horizontal="center" wrapText="1"/>
    </xf>
  </cellXfs>
  <cellStyles count="2">
    <cellStyle name="Hyperlink" xfId="1" builtinId="8"/>
    <cellStyle name="Normal" xfId="0" builtinId="0"/>
  </cellStyles>
  <dxfs count="32">
    <dxf>
      <font>
        <sz val="10"/>
        <color rgb="FF006100"/>
        <name val="Arial"/>
        <charset val="1"/>
      </font>
      <fill>
        <patternFill>
          <bgColor rgb="FFC6EFCE"/>
        </patternFill>
      </fill>
    </dxf>
    <dxf>
      <font>
        <b/>
        <sz val="10"/>
        <color rgb="FF9C5700"/>
        <name val="Arial"/>
        <charset val="1"/>
      </font>
      <fill>
        <patternFill>
          <bgColor rgb="FFFFEB9C"/>
        </patternFill>
      </fill>
    </dxf>
    <dxf>
      <font>
        <b/>
        <sz val="10"/>
        <color rgb="FF9C0006"/>
        <name val="Arial"/>
        <charset val="1"/>
      </font>
      <fill>
        <patternFill>
          <bgColor rgb="FFFFC7CE"/>
        </patternFill>
      </fill>
    </dxf>
    <dxf>
      <font>
        <sz val="10"/>
        <color rgb="FF2F5496"/>
        <name val="Arial"/>
        <charset val="1"/>
      </font>
      <fill>
        <patternFill>
          <bgColor rgb="FFDDEBF7"/>
        </patternFill>
      </fill>
    </dxf>
    <dxf>
      <font>
        <sz val="10"/>
        <color rgb="FF595959"/>
        <name val="Arial"/>
        <charset val="1"/>
      </font>
      <fill>
        <patternFill>
          <bgColor rgb="FFE7E6E6"/>
        </patternFill>
      </fill>
    </dxf>
    <dxf>
      <font>
        <sz val="10"/>
        <color rgb="FF9C5700"/>
        <name val="Arial"/>
        <charset val="1"/>
      </font>
      <fill>
        <patternFill>
          <bgColor rgb="FFFFEB9C"/>
        </patternFill>
      </fill>
    </dxf>
    <dxf>
      <font>
        <sz val="10"/>
        <color rgb="FF9C0006"/>
        <name val="Arial"/>
        <charset val="1"/>
      </font>
      <fill>
        <patternFill>
          <bgColor rgb="FFFFC7CE"/>
        </patternFill>
      </fill>
    </dxf>
    <dxf>
      <font>
        <sz val="10"/>
        <color rgb="FF006100"/>
        <name val="Arial"/>
        <charset val="1"/>
      </font>
      <fill>
        <patternFill>
          <bgColor rgb="FFC6EFCE"/>
        </patternFill>
      </fill>
    </dxf>
    <dxf>
      <font>
        <sz val="10"/>
        <color rgb="FF2F5496"/>
        <name val="Arial"/>
        <charset val="1"/>
      </font>
      <fill>
        <patternFill>
          <bgColor rgb="FFDDEBF7"/>
        </patternFill>
      </fill>
    </dxf>
    <dxf>
      <font>
        <sz val="10"/>
        <color rgb="FF595959"/>
        <name val="Arial"/>
        <charset val="1"/>
      </font>
      <fill>
        <patternFill>
          <bgColor rgb="FFE7E6E6"/>
        </patternFill>
      </fill>
    </dxf>
    <dxf>
      <font>
        <sz val="10"/>
        <color rgb="FF9C5700"/>
        <name val="Arial"/>
        <charset val="1"/>
      </font>
      <fill>
        <patternFill>
          <bgColor rgb="FFFFEB9C"/>
        </patternFill>
      </fill>
    </dxf>
    <dxf>
      <font>
        <sz val="10"/>
        <color rgb="FF9C0006"/>
        <name val="Arial"/>
        <charset val="1"/>
      </font>
      <fill>
        <patternFill>
          <bgColor rgb="FFFFC7CE"/>
        </patternFill>
      </fill>
    </dxf>
    <dxf>
      <font>
        <sz val="10"/>
        <color rgb="FF006100"/>
        <name val="Arial"/>
        <charset val="1"/>
      </font>
      <fill>
        <patternFill>
          <bgColor rgb="FFC6EFCE"/>
        </patternFill>
      </fill>
    </dxf>
    <dxf>
      <font>
        <sz val="10"/>
        <color rgb="FF2F5496"/>
        <name val="Arial"/>
        <charset val="1"/>
      </font>
      <fill>
        <patternFill>
          <bgColor rgb="FFDDEBF7"/>
        </patternFill>
      </fill>
    </dxf>
    <dxf>
      <font>
        <sz val="10"/>
        <color rgb="FF595959"/>
        <name val="Arial"/>
        <charset val="1"/>
      </font>
      <fill>
        <patternFill>
          <bgColor rgb="FFE7E6E6"/>
        </patternFill>
      </fill>
    </dxf>
    <dxf>
      <font>
        <sz val="10"/>
        <color rgb="FF9C5700"/>
        <name val="Arial"/>
        <charset val="1"/>
      </font>
      <fill>
        <patternFill>
          <bgColor rgb="FFFFEB9C"/>
        </patternFill>
      </fill>
    </dxf>
    <dxf>
      <font>
        <sz val="10"/>
        <color rgb="FF9C0006"/>
        <name val="Arial"/>
        <charset val="1"/>
      </font>
      <fill>
        <patternFill>
          <bgColor rgb="FFFFC7CE"/>
        </patternFill>
      </fill>
    </dxf>
    <dxf>
      <font>
        <sz val="10"/>
        <color rgb="FF006100"/>
        <name val="Arial"/>
        <charset val="1"/>
      </font>
      <fill>
        <patternFill>
          <bgColor rgb="FFC6EFCE"/>
        </patternFill>
      </fill>
    </dxf>
    <dxf>
      <font>
        <sz val="10"/>
        <color rgb="FF2F5496"/>
        <name val="Arial"/>
        <charset val="1"/>
      </font>
      <fill>
        <patternFill>
          <bgColor rgb="FFDDEBF7"/>
        </patternFill>
      </fill>
    </dxf>
    <dxf>
      <font>
        <sz val="10"/>
        <color rgb="FF595959"/>
        <name val="Arial"/>
        <charset val="1"/>
      </font>
      <fill>
        <patternFill>
          <bgColor rgb="FFE7E6E6"/>
        </patternFill>
      </fill>
    </dxf>
    <dxf>
      <font>
        <sz val="10"/>
        <color rgb="FF9C5700"/>
        <name val="Arial"/>
        <charset val="1"/>
      </font>
      <fill>
        <patternFill>
          <bgColor rgb="FFFFEB9C"/>
        </patternFill>
      </fill>
    </dxf>
    <dxf>
      <font>
        <sz val="10"/>
        <color rgb="FF9C0006"/>
        <name val="Arial"/>
        <charset val="1"/>
      </font>
      <fill>
        <patternFill>
          <bgColor rgb="FFFFC7CE"/>
        </patternFill>
      </fill>
    </dxf>
    <dxf>
      <font>
        <sz val="10"/>
        <color rgb="FF006100"/>
        <name val="Arial"/>
        <charset val="1"/>
      </font>
      <fill>
        <patternFill>
          <bgColor rgb="FFC6EFCE"/>
        </patternFill>
      </fill>
    </dxf>
    <dxf>
      <font>
        <sz val="10"/>
        <color rgb="FF006100"/>
        <name val="Arial"/>
        <charset val="1"/>
      </font>
      <fill>
        <patternFill>
          <bgColor rgb="FFC6EFCE"/>
        </patternFill>
      </fill>
    </dxf>
    <dxf>
      <font>
        <b/>
        <sz val="10"/>
        <color rgb="FF9C5700"/>
        <name val="Arial"/>
        <charset val="1"/>
      </font>
      <fill>
        <patternFill>
          <bgColor rgb="FFFFEB9C"/>
        </patternFill>
      </fill>
    </dxf>
    <dxf>
      <font>
        <b/>
        <sz val="10"/>
        <color rgb="FF9C0006"/>
        <name val="Arial"/>
        <charset val="1"/>
      </font>
      <fill>
        <patternFill>
          <bgColor rgb="FFFFC7CE"/>
        </patternFill>
      </fill>
    </dxf>
    <dxf>
      <font>
        <sz val="10"/>
        <color rgb="FF2F5496"/>
        <name val="Arial"/>
        <charset val="1"/>
      </font>
      <fill>
        <patternFill>
          <bgColor rgb="FFDDEBF7"/>
        </patternFill>
      </fill>
    </dxf>
    <dxf>
      <font>
        <sz val="10"/>
        <color rgb="FF595959"/>
        <name val="Arial"/>
        <charset val="1"/>
      </font>
      <fill>
        <patternFill>
          <bgColor rgb="FFE7E6E6"/>
        </patternFill>
      </fill>
    </dxf>
    <dxf>
      <font>
        <sz val="10"/>
        <color rgb="FF9C5700"/>
        <name val="Arial"/>
        <charset val="1"/>
      </font>
      <fill>
        <patternFill>
          <bgColor rgb="FFFFEB9C"/>
        </patternFill>
      </fill>
    </dxf>
    <dxf>
      <font>
        <sz val="10"/>
        <color rgb="FF9C0006"/>
        <name val="Arial"/>
        <charset val="1"/>
      </font>
      <fill>
        <patternFill>
          <bgColor rgb="FFFFC7CE"/>
        </patternFill>
      </fill>
    </dxf>
    <dxf>
      <font>
        <sz val="10"/>
        <color rgb="FF006100"/>
        <name val="Arial"/>
        <charset val="1"/>
      </font>
      <fill>
        <patternFill>
          <bgColor rgb="FFC6EFCE"/>
        </patternFill>
      </fill>
    </dxf>
    <dxf>
      <font>
        <b val="0"/>
        <i val="0"/>
        <strike val="0"/>
        <condense val="0"/>
        <extend val="0"/>
        <outline val="0"/>
        <shadow val="0"/>
        <u val="none"/>
        <vertAlign val="baseline"/>
        <sz val="10"/>
        <color auto="1"/>
        <name val="Arial"/>
        <charset val="1"/>
        <scheme val="none"/>
      </font>
      <alignment horizontal="general" vertical="top"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9C0006"/>
      <rgbColor rgb="FF006100"/>
      <rgbColor rgb="FF000080"/>
      <rgbColor rgb="FF808000"/>
      <rgbColor rgb="FF800080"/>
      <rgbColor rgb="FF008080"/>
      <rgbColor rgb="FFBFBFBF"/>
      <rgbColor rgb="FF808080"/>
      <rgbColor rgb="FF9999FF"/>
      <rgbColor rgb="FF993366"/>
      <rgbColor rgb="FFE7E6E6"/>
      <rgbColor rgb="FFDDEBF7"/>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6EFCE"/>
      <rgbColor rgb="FFFFEB9C"/>
      <rgbColor rgb="FF99CCFF"/>
      <rgbColor rgb="FFFF99CC"/>
      <rgbColor rgb="FFCC99FF"/>
      <rgbColor rgb="FFFFC7CE"/>
      <rgbColor rgb="FF3366FF"/>
      <rgbColor rgb="FF33CCCC"/>
      <rgbColor rgb="FF99CC00"/>
      <rgbColor rgb="FFFFCC00"/>
      <rgbColor rgb="FFFF9900"/>
      <rgbColor rgb="FFFF6600"/>
      <rgbColor rgb="FF595959"/>
      <rgbColor rgb="FF969696"/>
      <rgbColor rgb="FF1F4E78"/>
      <rgbColor rgb="FF339966"/>
      <rgbColor rgb="FF003300"/>
      <rgbColor rgb="FF333300"/>
      <rgbColor rgb="FF9C5700"/>
      <rgbColor rgb="FF993366"/>
      <rgbColor rgb="FF2F5496"/>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TestCases" displayName="TestCases" ref="A1:J18" totalsRowShown="0">
  <autoFilter ref="A1:J18" xr:uid="{00000000-0009-0000-0100-000002000000}"/>
  <tableColumns count="10">
    <tableColumn id="1" xr3:uid="{00000000-0010-0000-0000-000001000000}" name="Test Case ID"/>
    <tableColumn id="11" xr3:uid="{357A8DFE-60A5-4105-B4E0-C7D63A427E1E}" name="Platform" dataDxfId="31"/>
    <tableColumn id="2" xr3:uid="{00000000-0010-0000-0000-000002000000}" name="Title"/>
    <tableColumn id="3" xr3:uid="{00000000-0010-0000-0000-000003000000}" name="Preconditions"/>
    <tableColumn id="4" xr3:uid="{00000000-0010-0000-0000-000004000000}" name="Steps"/>
    <tableColumn id="5" xr3:uid="{00000000-0010-0000-0000-000005000000}" name="Expected Result"/>
    <tableColumn id="6" xr3:uid="{00000000-0010-0000-0000-000006000000}" name="Test Data"/>
    <tableColumn id="7" xr3:uid="{00000000-0010-0000-0000-000007000000}" name="Status"/>
    <tableColumn id="8" xr3:uid="{00000000-0010-0000-0000-000008000000}" name="Priority"/>
    <tableColumn id="9" xr3:uid="{00000000-0010-0000-0000-000009000000}" name="Notes"/>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B5175D7C-FE0C-4370-B796-DA0A29EEA811}" name="APICases4" displayName="APICases4" ref="A10:I13" totalsRowShown="0">
  <autoFilter ref="A10:I13" xr:uid="{B5175D7C-FE0C-4370-B796-DA0A29EEA811}"/>
  <tableColumns count="9">
    <tableColumn id="1" xr3:uid="{1DFA1E94-8CE1-4D52-B14D-C25102CAB0B6}" name="Test Case ID"/>
    <tableColumn id="2" xr3:uid="{C67C6407-3081-48CA-BDC3-B5257741C687}" name="Title"/>
    <tableColumn id="3" xr3:uid="{81312DF1-D85A-42FD-B281-95658DFFB1F8}" name="Preconditions"/>
    <tableColumn id="4" xr3:uid="{16B602C5-8DF6-4128-88DB-5F2791AA85B5}" name="Steps"/>
    <tableColumn id="5" xr3:uid="{F8FC6D6B-0C94-4269-BA50-A89A7C110DB4}" name="Expected Result"/>
    <tableColumn id="6" xr3:uid="{68D15887-5410-40AC-BA11-5BC69AF9590B}" name="Test Data"/>
    <tableColumn id="7" xr3:uid="{66F7F6A1-0B12-49C4-8011-A2A55C1C6613}" name="Status"/>
    <tableColumn id="8" xr3:uid="{89DCC47E-26E7-49B4-A425-32EE9AD4A26C}" name="Priority"/>
    <tableColumn id="9" xr3:uid="{892BC259-1F2C-4F25-A983-9001C622133D}" name="Notes"/>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openxmlformats.org/officeDocument/2006/relationships/hyperlink" Target="https://elmenus.com/mansoura/search-cake?query=cake" TargetMode="External"/><Relationship Id="rId2" Type="http://schemas.openxmlformats.org/officeDocument/2006/relationships/hyperlink" Target="https://elmenus.com/" TargetMode="External"/><Relationship Id="rId1" Type="http://schemas.openxmlformats.org/officeDocument/2006/relationships/hyperlink" Target="https://bassant-elsayed-8ef17322-8516656.postman.co/workspace/Elmenus~b62b1100-dfae-4394-a7b8-3b83c73854f7/collection/52870788-7c5b351f-d0b4-49bc-9992-6a3f6369b3a3?action=share&amp;creator=52870788" TargetMode="External"/><Relationship Id="rId5" Type="http://schemas.openxmlformats.org/officeDocument/2006/relationships/table" Target="../tables/table2.xml"/><Relationship Id="rId4" Type="http://schemas.openxmlformats.org/officeDocument/2006/relationships/hyperlink" Target="https://elmenus.com/api/auth-svc/1.0/auth/"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23"/>
  <sheetViews>
    <sheetView zoomScaleNormal="100" workbookViewId="0">
      <selection activeCell="E9" sqref="E9"/>
    </sheetView>
  </sheetViews>
  <sheetFormatPr defaultColWidth="8.6640625" defaultRowHeight="14.4" x14ac:dyDescent="0.3"/>
  <cols>
    <col min="1" max="1" width="28" customWidth="1"/>
    <col min="2" max="2" width="24.33203125" bestFit="1" customWidth="1"/>
    <col min="3" max="3" width="14" customWidth="1"/>
    <col min="4" max="4" width="12" customWidth="1"/>
    <col min="5" max="5" width="16" customWidth="1"/>
  </cols>
  <sheetData>
    <row r="1" spans="1:5" ht="17.25" customHeight="1" x14ac:dyDescent="0.3">
      <c r="A1" s="16" t="s">
        <v>0</v>
      </c>
      <c r="B1" s="16"/>
      <c r="C1" s="16"/>
      <c r="D1" s="16"/>
      <c r="E1" s="16"/>
    </row>
    <row r="3" spans="1:5" ht="15" customHeight="1" x14ac:dyDescent="0.3">
      <c r="A3" s="4" t="s">
        <v>1</v>
      </c>
      <c r="B3" s="5" t="s">
        <v>2</v>
      </c>
    </row>
    <row r="4" spans="1:5" ht="15" customHeight="1" x14ac:dyDescent="0.3">
      <c r="A4" s="4" t="s">
        <v>3</v>
      </c>
      <c r="B4" s="5"/>
    </row>
    <row r="5" spans="1:5" ht="15" customHeight="1" x14ac:dyDescent="0.3">
      <c r="A5" s="4" t="s">
        <v>4</v>
      </c>
      <c r="B5" s="5"/>
    </row>
    <row r="6" spans="1:5" ht="15" customHeight="1" x14ac:dyDescent="0.3">
      <c r="A6" s="4" t="s">
        <v>5</v>
      </c>
      <c r="B6" s="5"/>
    </row>
    <row r="8" spans="1:5" ht="15" customHeight="1" x14ac:dyDescent="0.3">
      <c r="A8" s="3" t="s">
        <v>6</v>
      </c>
    </row>
    <row r="9" spans="1:5" ht="15" customHeight="1" x14ac:dyDescent="0.3">
      <c r="A9" s="6" t="s">
        <v>7</v>
      </c>
      <c r="B9" s="6" t="s">
        <v>8</v>
      </c>
      <c r="C9" s="6" t="s">
        <v>9</v>
      </c>
    </row>
    <row r="10" spans="1:5" ht="15" customHeight="1" x14ac:dyDescent="0.3">
      <c r="A10" s="7" t="s">
        <v>10</v>
      </c>
      <c r="B10" s="7">
        <f>COUNTIF('Test Cases'!H:H,"Not Executed")</f>
        <v>0</v>
      </c>
      <c r="C10" s="8">
        <f>B10/$B$15</f>
        <v>0</v>
      </c>
    </row>
    <row r="11" spans="1:5" ht="15" customHeight="1" x14ac:dyDescent="0.3">
      <c r="A11" s="7" t="s">
        <v>11</v>
      </c>
      <c r="B11" s="7">
        <f>COUNTIF('Test Cases'!H:H,"Pass")</f>
        <v>9</v>
      </c>
      <c r="C11" s="8">
        <f>B11/$B$15</f>
        <v>0.5625</v>
      </c>
    </row>
    <row r="12" spans="1:5" ht="15" customHeight="1" x14ac:dyDescent="0.3">
      <c r="A12" s="7" t="s">
        <v>12</v>
      </c>
      <c r="B12" s="7">
        <f>COUNTIF('Test Cases'!H:H,"Fail")</f>
        <v>7</v>
      </c>
      <c r="C12" s="8">
        <f>B12/$B$15</f>
        <v>0.4375</v>
      </c>
    </row>
    <row r="13" spans="1:5" ht="15" customHeight="1" x14ac:dyDescent="0.3">
      <c r="A13" s="7" t="s">
        <v>13</v>
      </c>
      <c r="B13" s="7">
        <f>COUNTIF('Test Cases'!H:H,"Blocked")</f>
        <v>0</v>
      </c>
      <c r="C13" s="8">
        <f>B13/$B$15</f>
        <v>0</v>
      </c>
    </row>
    <row r="14" spans="1:5" ht="15" customHeight="1" x14ac:dyDescent="0.3">
      <c r="A14" s="7" t="s">
        <v>14</v>
      </c>
      <c r="B14" s="7">
        <f>COUNTIF('Test Cases'!H:H,"Skipped")</f>
        <v>0</v>
      </c>
      <c r="C14" s="8">
        <f>B14/$B$15</f>
        <v>0</v>
      </c>
    </row>
    <row r="15" spans="1:5" ht="15" customHeight="1" x14ac:dyDescent="0.3">
      <c r="A15" s="7" t="s">
        <v>15</v>
      </c>
      <c r="B15" s="7">
        <f>COUNTA('Test Cases'!A:A)-1</f>
        <v>16</v>
      </c>
      <c r="C15" s="7"/>
    </row>
    <row r="17" spans="1:5" ht="15" customHeight="1" x14ac:dyDescent="0.3">
      <c r="A17" s="3" t="s">
        <v>16</v>
      </c>
    </row>
    <row r="18" spans="1:5" ht="15" customHeight="1" x14ac:dyDescent="0.3">
      <c r="A18" s="6" t="s">
        <v>17</v>
      </c>
      <c r="B18" s="6" t="s">
        <v>8</v>
      </c>
      <c r="C18" s="6" t="s">
        <v>18</v>
      </c>
      <c r="D18" s="6" t="s">
        <v>19</v>
      </c>
      <c r="E18" s="6" t="s">
        <v>10</v>
      </c>
    </row>
    <row r="19" spans="1:5" ht="15" customHeight="1" x14ac:dyDescent="0.3">
      <c r="A19" s="7" t="s">
        <v>20</v>
      </c>
      <c r="B19" s="7">
        <f>COUNTIF('Test Cases'!I:I,"P0")</f>
        <v>6</v>
      </c>
      <c r="C19" s="7">
        <f>COUNTIFS('Test Cases'!I:I,"P0",'Test Cases'!H:H,"Pass")</f>
        <v>3</v>
      </c>
      <c r="D19" s="7">
        <f>COUNTIFS('Test Cases'!I:I,"P0",'Test Cases'!H:H,"Fail")</f>
        <v>3</v>
      </c>
      <c r="E19" s="7">
        <f>COUNTIFS('Test Cases'!I:I,"P0",'Test Cases'!H:H,"Not Executed")</f>
        <v>0</v>
      </c>
    </row>
    <row r="20" spans="1:5" ht="15" customHeight="1" x14ac:dyDescent="0.3">
      <c r="A20" s="7" t="s">
        <v>21</v>
      </c>
      <c r="B20" s="7">
        <f>COUNTIF('Test Cases'!I:I,"P1")</f>
        <v>8</v>
      </c>
      <c r="C20" s="7">
        <f>COUNTIFS('Test Cases'!I:I,"P1",'Test Cases'!H:H,"Pass")</f>
        <v>5</v>
      </c>
      <c r="D20" s="7">
        <f>COUNTIFS('Test Cases'!I:I,"P1",'Test Cases'!H:H,"Fail")</f>
        <v>3</v>
      </c>
      <c r="E20" s="7">
        <f>COUNTIFS('Test Cases'!I:I,"P1",'Test Cases'!H:H,"Not Executed")</f>
        <v>0</v>
      </c>
    </row>
    <row r="21" spans="1:5" ht="15" customHeight="1" x14ac:dyDescent="0.3">
      <c r="A21" s="7" t="s">
        <v>22</v>
      </c>
      <c r="B21" s="7">
        <f>COUNTIF('Test Cases'!I:I,"P2")</f>
        <v>2</v>
      </c>
      <c r="C21" s="7">
        <f>COUNTIFS('Test Cases'!I:I,"P2",'Test Cases'!H:H,"Pass")</f>
        <v>1</v>
      </c>
      <c r="D21" s="7">
        <f>COUNTIFS('Test Cases'!I:I,"P2",'Test Cases'!H:H,"Fail")</f>
        <v>1</v>
      </c>
      <c r="E21" s="7">
        <f>COUNTIFS('Test Cases'!I:I,"P2",'Test Cases'!H:H,"Not Executed")</f>
        <v>0</v>
      </c>
    </row>
    <row r="23" spans="1:5" ht="17.25" customHeight="1" x14ac:dyDescent="0.3">
      <c r="A23" s="3" t="s">
        <v>23</v>
      </c>
      <c r="B23" s="9">
        <f>IFERROR(B11/(B11+B12),0)</f>
        <v>0.5625</v>
      </c>
    </row>
  </sheetData>
  <mergeCells count="1">
    <mergeCell ref="A1:E1"/>
  </mergeCell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18"/>
  <sheetViews>
    <sheetView zoomScale="85" zoomScaleNormal="85" workbookViewId="0">
      <pane ySplit="1" topLeftCell="A15" activePane="bottomLeft" state="frozen"/>
      <selection pane="bottomLeft" activeCell="J15" sqref="J15"/>
    </sheetView>
  </sheetViews>
  <sheetFormatPr defaultColWidth="8.6640625" defaultRowHeight="14.4" x14ac:dyDescent="0.3"/>
  <cols>
    <col min="1" max="2" width="12" customWidth="1"/>
    <col min="3" max="3" width="38" customWidth="1"/>
    <col min="4" max="4" width="32" customWidth="1"/>
    <col min="5" max="5" width="89.44140625" bestFit="1" customWidth="1"/>
    <col min="6" max="6" width="45" customWidth="1"/>
    <col min="7" max="7" width="28" customWidth="1"/>
    <col min="8" max="8" width="14" customWidth="1"/>
    <col min="9" max="9" width="10" customWidth="1"/>
    <col min="10" max="10" width="28" customWidth="1"/>
  </cols>
  <sheetData>
    <row r="1" spans="1:10" ht="26.25" customHeight="1" x14ac:dyDescent="0.3">
      <c r="A1" s="10" t="s">
        <v>24</v>
      </c>
      <c r="B1" s="13" t="s">
        <v>133</v>
      </c>
      <c r="C1" s="10" t="s">
        <v>25</v>
      </c>
      <c r="D1" s="10" t="s">
        <v>26</v>
      </c>
      <c r="E1" s="10" t="s">
        <v>27</v>
      </c>
      <c r="F1" s="10" t="s">
        <v>28</v>
      </c>
      <c r="G1" s="10" t="s">
        <v>29</v>
      </c>
      <c r="H1" s="10" t="s">
        <v>7</v>
      </c>
      <c r="I1" s="10" t="s">
        <v>17</v>
      </c>
      <c r="J1" s="10" t="s">
        <v>30</v>
      </c>
    </row>
    <row r="2" spans="1:10" ht="109.5" customHeight="1" x14ac:dyDescent="0.3">
      <c r="A2" s="2" t="s">
        <v>31</v>
      </c>
      <c r="B2" s="11" t="s">
        <v>134</v>
      </c>
      <c r="C2" s="2" t="s">
        <v>32</v>
      </c>
      <c r="D2" s="2" t="s">
        <v>33</v>
      </c>
      <c r="E2" s="2" t="s">
        <v>34</v>
      </c>
      <c r="F2" s="2" t="s">
        <v>35</v>
      </c>
      <c r="G2" s="2" t="s">
        <v>36</v>
      </c>
      <c r="H2" s="2" t="s">
        <v>11</v>
      </c>
      <c r="I2" s="2" t="s">
        <v>20</v>
      </c>
      <c r="J2" s="2" t="s">
        <v>37</v>
      </c>
    </row>
    <row r="3" spans="1:10" ht="109.5" customHeight="1" x14ac:dyDescent="0.3">
      <c r="A3" s="2" t="s">
        <v>38</v>
      </c>
      <c r="B3" s="11" t="s">
        <v>134</v>
      </c>
      <c r="C3" s="2" t="s">
        <v>39</v>
      </c>
      <c r="D3" s="2" t="s">
        <v>40</v>
      </c>
      <c r="E3" s="2" t="s">
        <v>41</v>
      </c>
      <c r="F3" s="2" t="s">
        <v>42</v>
      </c>
      <c r="G3" s="2" t="s">
        <v>43</v>
      </c>
      <c r="H3" s="2" t="s">
        <v>11</v>
      </c>
      <c r="I3" s="2" t="s">
        <v>20</v>
      </c>
      <c r="J3" s="2" t="s">
        <v>44</v>
      </c>
    </row>
    <row r="4" spans="1:10" ht="109.5" customHeight="1" x14ac:dyDescent="0.3">
      <c r="A4" s="2" t="s">
        <v>45</v>
      </c>
      <c r="B4" s="11" t="s">
        <v>134</v>
      </c>
      <c r="C4" s="2" t="s">
        <v>121</v>
      </c>
      <c r="D4" s="2" t="s">
        <v>122</v>
      </c>
      <c r="E4" s="2" t="s">
        <v>123</v>
      </c>
      <c r="F4" s="2" t="s">
        <v>124</v>
      </c>
      <c r="G4" s="2" t="s">
        <v>125</v>
      </c>
      <c r="H4" s="2" t="s">
        <v>11</v>
      </c>
      <c r="I4" s="2" t="s">
        <v>21</v>
      </c>
      <c r="J4" s="2" t="s">
        <v>126</v>
      </c>
    </row>
    <row r="5" spans="1:10" ht="198" x14ac:dyDescent="0.3">
      <c r="A5" s="2" t="s">
        <v>46</v>
      </c>
      <c r="B5" s="11" t="s">
        <v>135</v>
      </c>
      <c r="C5" s="2" t="s">
        <v>128</v>
      </c>
      <c r="D5" s="2" t="s">
        <v>129</v>
      </c>
      <c r="E5" s="11" t="s">
        <v>130</v>
      </c>
      <c r="F5" s="11" t="s">
        <v>132</v>
      </c>
      <c r="G5" s="11" t="s">
        <v>131</v>
      </c>
      <c r="H5" s="2" t="s">
        <v>12</v>
      </c>
      <c r="I5" s="2" t="s">
        <v>22</v>
      </c>
      <c r="J5" s="12" t="s">
        <v>142</v>
      </c>
    </row>
    <row r="6" spans="1:10" ht="109.5" customHeight="1" x14ac:dyDescent="0.3">
      <c r="A6" s="2" t="s">
        <v>52</v>
      </c>
      <c r="B6" s="11" t="s">
        <v>134</v>
      </c>
      <c r="C6" s="2" t="s">
        <v>47</v>
      </c>
      <c r="D6" s="2" t="s">
        <v>48</v>
      </c>
      <c r="E6" s="2" t="s">
        <v>49</v>
      </c>
      <c r="F6" s="11" t="s">
        <v>137</v>
      </c>
      <c r="G6" s="2" t="s">
        <v>50</v>
      </c>
      <c r="H6" s="2" t="s">
        <v>11</v>
      </c>
      <c r="I6" s="2" t="s">
        <v>20</v>
      </c>
      <c r="J6" s="2" t="s">
        <v>51</v>
      </c>
    </row>
    <row r="7" spans="1:10" ht="109.5" customHeight="1" x14ac:dyDescent="0.3">
      <c r="A7" s="2" t="s">
        <v>53</v>
      </c>
      <c r="B7" s="11" t="s">
        <v>134</v>
      </c>
      <c r="C7" s="11" t="s">
        <v>143</v>
      </c>
      <c r="D7" s="11" t="s">
        <v>144</v>
      </c>
      <c r="E7" s="11" t="s">
        <v>145</v>
      </c>
      <c r="F7" s="11" t="s">
        <v>146</v>
      </c>
      <c r="G7" s="11" t="s">
        <v>147</v>
      </c>
      <c r="H7" s="2" t="s">
        <v>12</v>
      </c>
      <c r="I7" s="2" t="s">
        <v>20</v>
      </c>
      <c r="J7" s="12" t="s">
        <v>149</v>
      </c>
    </row>
    <row r="8" spans="1:10" ht="109.5" customHeight="1" x14ac:dyDescent="0.3">
      <c r="A8" s="2" t="s">
        <v>60</v>
      </c>
      <c r="B8" s="11" t="s">
        <v>136</v>
      </c>
      <c r="C8" s="2" t="s">
        <v>138</v>
      </c>
      <c r="D8" s="11" t="s">
        <v>139</v>
      </c>
      <c r="E8" s="11" t="s">
        <v>140</v>
      </c>
      <c r="F8" s="11" t="s">
        <v>141</v>
      </c>
      <c r="G8" s="11" t="s">
        <v>157</v>
      </c>
      <c r="H8" s="2" t="s">
        <v>12</v>
      </c>
      <c r="I8" s="2" t="s">
        <v>21</v>
      </c>
      <c r="J8" s="12" t="s">
        <v>150</v>
      </c>
    </row>
    <row r="9" spans="1:10" ht="109.5" customHeight="1" x14ac:dyDescent="0.3">
      <c r="A9" s="2" t="s">
        <v>66</v>
      </c>
      <c r="B9" s="11" t="s">
        <v>134</v>
      </c>
      <c r="C9" s="2" t="s">
        <v>54</v>
      </c>
      <c r="D9" s="2" t="s">
        <v>55</v>
      </c>
      <c r="E9" s="2" t="s">
        <v>56</v>
      </c>
      <c r="F9" s="2" t="s">
        <v>57</v>
      </c>
      <c r="G9" s="2" t="s">
        <v>58</v>
      </c>
      <c r="H9" s="2" t="s">
        <v>11</v>
      </c>
      <c r="I9" s="2" t="s">
        <v>21</v>
      </c>
      <c r="J9" s="2" t="s">
        <v>59</v>
      </c>
    </row>
    <row r="10" spans="1:10" ht="109.5" customHeight="1" x14ac:dyDescent="0.3">
      <c r="A10" s="2" t="s">
        <v>73</v>
      </c>
      <c r="B10" s="11" t="s">
        <v>167</v>
      </c>
      <c r="C10" s="2" t="s">
        <v>61</v>
      </c>
      <c r="D10" s="2" t="s">
        <v>62</v>
      </c>
      <c r="E10" s="2" t="s">
        <v>63</v>
      </c>
      <c r="F10" s="2" t="s">
        <v>64</v>
      </c>
      <c r="G10" s="11" t="s">
        <v>65</v>
      </c>
      <c r="H10" s="2" t="s">
        <v>11</v>
      </c>
      <c r="I10" s="2" t="s">
        <v>21</v>
      </c>
      <c r="J10" s="11" t="s">
        <v>168</v>
      </c>
    </row>
    <row r="11" spans="1:10" ht="109.5" customHeight="1" x14ac:dyDescent="0.3">
      <c r="A11" s="2" t="s">
        <v>80</v>
      </c>
      <c r="B11" s="2"/>
      <c r="C11" s="2" t="s">
        <v>67</v>
      </c>
      <c r="D11" s="2" t="s">
        <v>68</v>
      </c>
      <c r="E11" s="2" t="s">
        <v>69</v>
      </c>
      <c r="F11" s="2" t="s">
        <v>70</v>
      </c>
      <c r="G11" s="2" t="s">
        <v>71</v>
      </c>
      <c r="H11" s="2" t="s">
        <v>11</v>
      </c>
      <c r="I11" s="2" t="s">
        <v>22</v>
      </c>
      <c r="J11" s="2" t="s">
        <v>72</v>
      </c>
    </row>
    <row r="12" spans="1:10" ht="109.5" customHeight="1" x14ac:dyDescent="0.3">
      <c r="A12" s="2" t="s">
        <v>85</v>
      </c>
      <c r="B12" s="2"/>
      <c r="C12" s="2" t="s">
        <v>74</v>
      </c>
      <c r="D12" s="2" t="s">
        <v>75</v>
      </c>
      <c r="E12" s="2" t="s">
        <v>76</v>
      </c>
      <c r="F12" s="2" t="s">
        <v>77</v>
      </c>
      <c r="G12" s="2" t="s">
        <v>78</v>
      </c>
      <c r="H12" s="2" t="s">
        <v>11</v>
      </c>
      <c r="I12" s="2" t="s">
        <v>21</v>
      </c>
      <c r="J12" s="2" t="s">
        <v>79</v>
      </c>
    </row>
    <row r="13" spans="1:10" ht="109.5" customHeight="1" x14ac:dyDescent="0.3">
      <c r="A13" s="2" t="s">
        <v>86</v>
      </c>
      <c r="B13" s="11" t="s">
        <v>134</v>
      </c>
      <c r="C13" s="11" t="s">
        <v>159</v>
      </c>
      <c r="D13" s="11" t="s">
        <v>160</v>
      </c>
      <c r="E13" s="11" t="s">
        <v>81</v>
      </c>
      <c r="F13" s="2" t="s">
        <v>82</v>
      </c>
      <c r="G13" s="2" t="s">
        <v>83</v>
      </c>
      <c r="H13" s="2" t="s">
        <v>11</v>
      </c>
      <c r="I13" s="2" t="s">
        <v>21</v>
      </c>
      <c r="J13" s="2" t="s">
        <v>84</v>
      </c>
    </row>
    <row r="14" spans="1:10" ht="79.2" x14ac:dyDescent="0.3">
      <c r="A14" s="2" t="s">
        <v>87</v>
      </c>
      <c r="B14" s="11" t="s">
        <v>136</v>
      </c>
      <c r="C14" s="11" t="s">
        <v>151</v>
      </c>
      <c r="D14" s="11" t="s">
        <v>152</v>
      </c>
      <c r="E14" s="11" t="s">
        <v>153</v>
      </c>
      <c r="F14" s="11" t="s">
        <v>154</v>
      </c>
      <c r="G14" s="11" t="s">
        <v>155</v>
      </c>
      <c r="H14" s="2" t="s">
        <v>12</v>
      </c>
      <c r="I14" s="2" t="s">
        <v>20</v>
      </c>
      <c r="J14" s="12" t="s">
        <v>156</v>
      </c>
    </row>
    <row r="15" spans="1:10" ht="109.5" customHeight="1" x14ac:dyDescent="0.3">
      <c r="A15" s="2" t="s">
        <v>127</v>
      </c>
      <c r="B15" s="11" t="s">
        <v>134</v>
      </c>
      <c r="C15" s="11" t="s">
        <v>162</v>
      </c>
      <c r="D15" s="11" t="s">
        <v>161</v>
      </c>
      <c r="E15" s="11" t="s">
        <v>163</v>
      </c>
      <c r="F15" s="11" t="s">
        <v>164</v>
      </c>
      <c r="G15" s="11" t="s">
        <v>166</v>
      </c>
      <c r="H15" s="2" t="s">
        <v>12</v>
      </c>
      <c r="I15" s="2" t="s">
        <v>21</v>
      </c>
      <c r="J15" s="12" t="s">
        <v>165</v>
      </c>
    </row>
    <row r="16" spans="1:10" ht="109.5" customHeight="1" x14ac:dyDescent="0.3">
      <c r="A16" s="2" t="s">
        <v>148</v>
      </c>
      <c r="B16" s="11" t="s">
        <v>134</v>
      </c>
      <c r="C16" s="11" t="s">
        <v>170</v>
      </c>
      <c r="D16" s="11" t="s">
        <v>171</v>
      </c>
      <c r="E16" s="11" t="s">
        <v>173</v>
      </c>
      <c r="F16" s="11" t="s">
        <v>172</v>
      </c>
      <c r="G16" s="11" t="s">
        <v>174</v>
      </c>
      <c r="H16" s="2" t="s">
        <v>12</v>
      </c>
      <c r="I16" s="2" t="s">
        <v>20</v>
      </c>
      <c r="J16" s="12" t="s">
        <v>175</v>
      </c>
    </row>
    <row r="17" spans="1:10" ht="109.5" customHeight="1" x14ac:dyDescent="0.3">
      <c r="A17" s="2" t="s">
        <v>169</v>
      </c>
      <c r="B17" s="11" t="s">
        <v>136</v>
      </c>
      <c r="C17" s="2" t="s">
        <v>88</v>
      </c>
      <c r="D17" s="2" t="s">
        <v>89</v>
      </c>
      <c r="E17" s="2" t="s">
        <v>90</v>
      </c>
      <c r="F17" s="2" t="s">
        <v>91</v>
      </c>
      <c r="G17" s="2" t="s">
        <v>92</v>
      </c>
      <c r="H17" s="2" t="s">
        <v>12</v>
      </c>
      <c r="I17" s="2" t="s">
        <v>21</v>
      </c>
      <c r="J17" s="12" t="s">
        <v>158</v>
      </c>
    </row>
    <row r="18" spans="1:10" x14ac:dyDescent="0.3">
      <c r="B18" s="14"/>
    </row>
  </sheetData>
  <phoneticPr fontId="6" type="noConversion"/>
  <conditionalFormatting sqref="H2:H17">
    <cfRule type="cellIs" dxfId="30" priority="17" operator="equal">
      <formula>"Pass"</formula>
    </cfRule>
    <cfRule type="cellIs" dxfId="29" priority="18" operator="equal">
      <formula>"Fail"</formula>
    </cfRule>
    <cfRule type="cellIs" dxfId="28" priority="19" operator="equal">
      <formula>"Blocked"</formula>
    </cfRule>
    <cfRule type="cellIs" dxfId="27" priority="20" operator="equal">
      <formula>"Skipped"</formula>
    </cfRule>
    <cfRule type="cellIs" dxfId="26" priority="21" operator="equal">
      <formula>"Not Executed"</formula>
    </cfRule>
  </conditionalFormatting>
  <conditionalFormatting sqref="I2:I17">
    <cfRule type="cellIs" dxfId="25" priority="22" operator="equal">
      <formula>"P0"</formula>
    </cfRule>
    <cfRule type="cellIs" dxfId="24" priority="23" operator="equal">
      <formula>"P1"</formula>
    </cfRule>
    <cfRule type="cellIs" dxfId="23" priority="24" operator="equal">
      <formula>"P2"</formula>
    </cfRule>
  </conditionalFormatting>
  <conditionalFormatting sqref="J5">
    <cfRule type="cellIs" dxfId="22" priority="11" operator="equal">
      <formula>"Pass"</formula>
    </cfRule>
    <cfRule type="cellIs" dxfId="21" priority="12" operator="equal">
      <formula>"Fail"</formula>
    </cfRule>
    <cfRule type="cellIs" dxfId="20" priority="13" operator="equal">
      <formula>"Blocked"</formula>
    </cfRule>
    <cfRule type="cellIs" dxfId="19" priority="14" operator="equal">
      <formula>"Skipped"</formula>
    </cfRule>
    <cfRule type="cellIs" dxfId="18" priority="15" operator="equal">
      <formula>"Not Executed"</formula>
    </cfRule>
  </conditionalFormatting>
  <conditionalFormatting sqref="J7:J8">
    <cfRule type="cellIs" dxfId="17" priority="6" operator="equal">
      <formula>"Pass"</formula>
    </cfRule>
    <cfRule type="cellIs" dxfId="16" priority="7" operator="equal">
      <formula>"Fail"</formula>
    </cfRule>
    <cfRule type="cellIs" dxfId="15" priority="8" operator="equal">
      <formula>"Blocked"</formula>
    </cfRule>
    <cfRule type="cellIs" dxfId="14" priority="9" operator="equal">
      <formula>"Skipped"</formula>
    </cfRule>
    <cfRule type="cellIs" dxfId="13" priority="10" operator="equal">
      <formula>"Not Executed"</formula>
    </cfRule>
  </conditionalFormatting>
  <conditionalFormatting sqref="J14:J17">
    <cfRule type="cellIs" dxfId="12" priority="1" operator="equal">
      <formula>"Pass"</formula>
    </cfRule>
    <cfRule type="cellIs" dxfId="11" priority="2" operator="equal">
      <formula>"Fail"</formula>
    </cfRule>
    <cfRule type="cellIs" dxfId="10" priority="3" operator="equal">
      <formula>"Blocked"</formula>
    </cfRule>
    <cfRule type="cellIs" dxfId="9" priority="4" operator="equal">
      <formula>"Skipped"</formula>
    </cfRule>
    <cfRule type="cellIs" dxfId="8" priority="5" operator="equal">
      <formula>"Not Executed"</formula>
    </cfRule>
  </conditionalFormatting>
  <dataValidations count="2">
    <dataValidation type="list" errorTitle="Invalid Status" error="Pick a value from the list." promptTitle="Status" prompt="Not Executed / Pass / Fail / Blocked / Skipped" sqref="H2:H17" xr:uid="{00000000-0002-0000-0100-000000000000}">
      <formula1>"Not Executed,Pass,Fail,Blocked,Skipped"</formula1>
      <formula2>0</formula2>
    </dataValidation>
    <dataValidation type="list" errorTitle="Invalid Priority" error="Pick P0, P1, or P2." promptTitle="Priority" prompt="P0 (blocker) / P1 (major) / P2 (minor)" sqref="I2:I17" xr:uid="{00000000-0002-0000-0100-000001000000}">
      <formula1>"P0,P1,P2"</formula1>
      <formula2>0</formula2>
    </dataValidation>
  </dataValidations>
  <pageMargins left="0.75" right="0.75" top="1" bottom="1" header="0.511811023622047" footer="0.511811023622047"/>
  <pageSetup paperSize="9" orientation="portrait" horizontalDpi="300" verticalDpi="300"/>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BE726E-3166-4040-9932-441E02D5F57C}">
  <dimension ref="A1:I13"/>
  <sheetViews>
    <sheetView tabSelected="1" topLeftCell="A2" workbookViewId="0">
      <selection activeCell="F12" sqref="F12"/>
    </sheetView>
  </sheetViews>
  <sheetFormatPr defaultColWidth="8.6640625" defaultRowHeight="14.4" x14ac:dyDescent="0.3"/>
  <cols>
    <col min="1" max="1" width="21.5546875" bestFit="1" customWidth="1"/>
    <col min="2" max="2" width="38" customWidth="1"/>
    <col min="3" max="3" width="32" customWidth="1"/>
    <col min="4" max="4" width="49.109375" bestFit="1" customWidth="1"/>
    <col min="5" max="5" width="50" customWidth="1"/>
    <col min="6" max="6" width="28" customWidth="1"/>
    <col min="7" max="7" width="14" customWidth="1"/>
    <col min="8" max="8" width="10" customWidth="1"/>
    <col min="9" max="9" width="32" customWidth="1"/>
  </cols>
  <sheetData>
    <row r="1" spans="1:9" ht="17.399999999999999" x14ac:dyDescent="0.3">
      <c r="A1" s="16" t="s">
        <v>99</v>
      </c>
      <c r="B1" s="16"/>
      <c r="C1" s="16"/>
      <c r="D1" s="16"/>
      <c r="E1" s="16"/>
      <c r="F1" s="16"/>
      <c r="G1" s="16"/>
      <c r="H1" s="16"/>
      <c r="I1" s="16"/>
    </row>
    <row r="2" spans="1:9" ht="41.4" customHeight="1" x14ac:dyDescent="0.3">
      <c r="A2" s="17" t="s">
        <v>179</v>
      </c>
      <c r="B2" s="17"/>
      <c r="C2" s="18" t="s">
        <v>180</v>
      </c>
      <c r="D2" s="18"/>
    </row>
    <row r="3" spans="1:9" x14ac:dyDescent="0.3">
      <c r="A3" s="3" t="s">
        <v>100</v>
      </c>
    </row>
    <row r="4" spans="1:9" x14ac:dyDescent="0.3">
      <c r="A4" s="6" t="s">
        <v>101</v>
      </c>
      <c r="B4" s="6" t="s">
        <v>102</v>
      </c>
      <c r="C4" s="6" t="s">
        <v>103</v>
      </c>
      <c r="D4" s="6" t="s">
        <v>104</v>
      </c>
    </row>
    <row r="5" spans="1:9" ht="26.4" x14ac:dyDescent="0.3">
      <c r="A5" s="15" t="s">
        <v>181</v>
      </c>
      <c r="B5" s="1" t="s">
        <v>105</v>
      </c>
      <c r="C5" s="1" t="s">
        <v>106</v>
      </c>
      <c r="D5" s="1" t="s">
        <v>107</v>
      </c>
    </row>
    <row r="6" spans="1:9" ht="28.8" x14ac:dyDescent="0.3">
      <c r="A6" s="15" t="s">
        <v>183</v>
      </c>
      <c r="B6" s="1" t="s">
        <v>108</v>
      </c>
      <c r="C6" s="1" t="s">
        <v>109</v>
      </c>
      <c r="D6" s="1" t="s">
        <v>107</v>
      </c>
    </row>
    <row r="7" spans="1:9" ht="43.2" x14ac:dyDescent="0.3">
      <c r="A7" s="15" t="s">
        <v>182</v>
      </c>
      <c r="B7" s="1" t="s">
        <v>105</v>
      </c>
      <c r="C7" s="1" t="s">
        <v>110</v>
      </c>
      <c r="D7" s="1" t="s">
        <v>111</v>
      </c>
    </row>
    <row r="9" spans="1:9" x14ac:dyDescent="0.3">
      <c r="A9" s="3" t="s">
        <v>112</v>
      </c>
    </row>
    <row r="10" spans="1:9" x14ac:dyDescent="0.3">
      <c r="A10" s="10" t="s">
        <v>24</v>
      </c>
      <c r="B10" s="10" t="s">
        <v>25</v>
      </c>
      <c r="C10" s="10" t="s">
        <v>26</v>
      </c>
      <c r="D10" s="10" t="s">
        <v>27</v>
      </c>
      <c r="E10" s="10" t="s">
        <v>28</v>
      </c>
      <c r="F10" s="10" t="s">
        <v>29</v>
      </c>
      <c r="G10" s="10" t="s">
        <v>7</v>
      </c>
      <c r="H10" s="10" t="s">
        <v>17</v>
      </c>
      <c r="I10" s="10" t="s">
        <v>30</v>
      </c>
    </row>
    <row r="11" spans="1:9" ht="139.5" customHeight="1" x14ac:dyDescent="0.3">
      <c r="A11" s="2" t="s">
        <v>93</v>
      </c>
      <c r="B11" s="2" t="s">
        <v>94</v>
      </c>
      <c r="C11" s="2" t="s">
        <v>113</v>
      </c>
      <c r="D11" s="2" t="s">
        <v>176</v>
      </c>
      <c r="E11" s="2" t="s">
        <v>114</v>
      </c>
      <c r="F11" s="2"/>
      <c r="G11" s="2" t="s">
        <v>11</v>
      </c>
      <c r="H11" s="2" t="s">
        <v>20</v>
      </c>
      <c r="I11" s="2" t="s">
        <v>115</v>
      </c>
    </row>
    <row r="12" spans="1:9" ht="139.5" customHeight="1" x14ac:dyDescent="0.3">
      <c r="A12" s="2" t="s">
        <v>95</v>
      </c>
      <c r="B12" s="2" t="s">
        <v>97</v>
      </c>
      <c r="C12" s="2" t="s">
        <v>116</v>
      </c>
      <c r="D12" s="2" t="s">
        <v>184</v>
      </c>
      <c r="E12" s="2" t="s">
        <v>117</v>
      </c>
      <c r="F12" s="2" t="s">
        <v>178</v>
      </c>
      <c r="G12" s="2" t="s">
        <v>11</v>
      </c>
      <c r="H12" s="2" t="s">
        <v>20</v>
      </c>
      <c r="I12" s="2" t="s">
        <v>118</v>
      </c>
    </row>
    <row r="13" spans="1:9" ht="139.5" customHeight="1" x14ac:dyDescent="0.3">
      <c r="A13" s="2" t="s">
        <v>96</v>
      </c>
      <c r="B13" s="2" t="s">
        <v>98</v>
      </c>
      <c r="C13" s="2" t="s">
        <v>177</v>
      </c>
      <c r="D13" s="2" t="s">
        <v>185</v>
      </c>
      <c r="E13" s="2" t="s">
        <v>119</v>
      </c>
      <c r="F13" s="2" t="s">
        <v>186</v>
      </c>
      <c r="G13" s="2" t="s">
        <v>11</v>
      </c>
      <c r="H13" s="2" t="s">
        <v>20</v>
      </c>
      <c r="I13" s="2" t="s">
        <v>120</v>
      </c>
    </row>
  </sheetData>
  <mergeCells count="3">
    <mergeCell ref="A1:I1"/>
    <mergeCell ref="A2:B2"/>
    <mergeCell ref="C2:D2"/>
  </mergeCells>
  <phoneticPr fontId="6" type="noConversion"/>
  <conditionalFormatting sqref="G11:G13">
    <cfRule type="cellIs" dxfId="7" priority="1" operator="equal">
      <formula>"Pass"</formula>
    </cfRule>
    <cfRule type="cellIs" dxfId="6" priority="2" operator="equal">
      <formula>"Fail"</formula>
    </cfRule>
    <cfRule type="cellIs" dxfId="5" priority="3" operator="equal">
      <formula>"Blocked"</formula>
    </cfRule>
    <cfRule type="cellIs" dxfId="4" priority="4" operator="equal">
      <formula>"Skipped"</formula>
    </cfRule>
    <cfRule type="cellIs" dxfId="3" priority="5" operator="equal">
      <formula>"Not Executed"</formula>
    </cfRule>
  </conditionalFormatting>
  <conditionalFormatting sqref="H11:H13">
    <cfRule type="cellIs" dxfId="2" priority="6" operator="equal">
      <formula>"P0"</formula>
    </cfRule>
    <cfRule type="cellIs" dxfId="1" priority="7" operator="equal">
      <formula>"P1"</formula>
    </cfRule>
    <cfRule type="cellIs" dxfId="0" priority="8" operator="equal">
      <formula>"P2"</formula>
    </cfRule>
  </conditionalFormatting>
  <dataValidations count="2">
    <dataValidation type="list" errorTitle="Invalid Priority" error="Pick P0, P1, or P2." promptTitle="Priority" prompt="P0 (blocker) / P1 (major) / P2 (minor)" sqref="H11:H13" xr:uid="{C6E20BA9-2FEB-4783-9BEF-3F66506442E3}">
      <formula1>"P0,P1,P2"</formula1>
      <formula2>0</formula2>
    </dataValidation>
    <dataValidation type="list" errorTitle="Invalid Status" error="Pick a value from the list." promptTitle="Status" prompt="Not Executed / Pass / Fail / Blocked / Skipped" sqref="G11:G13" xr:uid="{1F054053-D69B-4FB7-9271-1A5965364E2F}">
      <formula1>"Not Executed,Pass,Fail,Blocked,Skipped"</formula1>
      <formula2>0</formula2>
    </dataValidation>
  </dataValidations>
  <hyperlinks>
    <hyperlink ref="C2" r:id="rId1" xr:uid="{D4ADD408-985B-45B3-8F90-0CF992552F5D}"/>
    <hyperlink ref="A5" r:id="rId2" xr:uid="{D2B464D1-D187-4716-B023-A97C1EF90893}"/>
    <hyperlink ref="A7" r:id="rId3" xr:uid="{D6629331-5300-46D9-B613-1D76582D6A7B}"/>
    <hyperlink ref="A6" r:id="rId4" xr:uid="{B787E67D-B127-4876-81EE-30C4521E15AF}"/>
  </hyperlinks>
  <pageMargins left="0.7" right="0.7" top="0.75" bottom="0.75" header="0.3" footer="0.3"/>
  <tableParts count="1">
    <tablePart r:id="rId5"/>
  </tableParts>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3</vt:i4>
      </vt:variant>
    </vt:vector>
  </HeadingPairs>
  <TitlesOfParts>
    <vt:vector size="3" baseType="lpstr">
      <vt:lpstr>Summary</vt:lpstr>
      <vt:lpstr>Test Cases</vt:lpstr>
      <vt:lpstr>API Testing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Bassant Elsayed</cp:lastModifiedBy>
  <cp:revision>0</cp:revision>
  <dcterms:created xsi:type="dcterms:W3CDTF">2026-05-16T11:11:24Z</dcterms:created>
  <dcterms:modified xsi:type="dcterms:W3CDTF">2026-05-17T10:08:06Z</dcterms:modified>
  <dc:language>en-US</dc:language>
</cp:coreProperties>
</file>